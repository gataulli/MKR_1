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NOVO\Desktop\dtgdg-main\"/>
    </mc:Choice>
  </mc:AlternateContent>
  <bookViews>
    <workbookView xWindow="0" yWindow="0" windowWidth="23040" windowHeight="8820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2" l="1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E14" i="2" l="1"/>
  <c r="E12" i="2" l="1"/>
  <c r="AI12" i="2"/>
  <c r="C5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I12" i="1"/>
  <c r="E12" i="1"/>
  <c r="C6" i="2" l="1"/>
  <c r="U13" i="1"/>
  <c r="AC13" i="1"/>
  <c r="C6" i="1"/>
  <c r="C5" i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F13" i="1" l="1"/>
  <c r="M13" i="1"/>
  <c r="AB13" i="1"/>
  <c r="T13" i="1"/>
  <c r="L13" i="1"/>
  <c r="AA13" i="1"/>
  <c r="K13" i="1"/>
  <c r="Z13" i="1"/>
  <c r="X13" i="1"/>
  <c r="H13" i="1"/>
  <c r="AE13" i="1"/>
  <c r="W13" i="1"/>
  <c r="O13" i="1"/>
  <c r="G13" i="1"/>
  <c r="S13" i="1"/>
  <c r="AH13" i="1"/>
  <c r="R13" i="1"/>
  <c r="J13" i="1"/>
  <c r="AG13" i="1"/>
  <c r="Y13" i="1"/>
  <c r="Q13" i="1"/>
  <c r="I13" i="1"/>
  <c r="AF13" i="1"/>
  <c r="P13" i="1"/>
  <c r="AD13" i="1"/>
  <c r="V13" i="1"/>
  <c r="N13" i="1"/>
  <c r="F14" i="2"/>
  <c r="F13" i="2"/>
  <c r="AD14" i="2"/>
  <c r="Y14" i="2"/>
  <c r="R14" i="2"/>
  <c r="AG14" i="2"/>
  <c r="S14" i="2"/>
  <c r="G14" i="2"/>
  <c r="AA14" i="2"/>
  <c r="U14" i="2"/>
  <c r="AH14" i="2"/>
  <c r="K14" i="2"/>
  <c r="Z14" i="2"/>
  <c r="AE14" i="2"/>
  <c r="J14" i="2"/>
  <c r="W14" i="2"/>
  <c r="AB14" i="2"/>
  <c r="O14" i="2"/>
  <c r="N14" i="2"/>
  <c r="T14" i="2"/>
  <c r="V14" i="2"/>
  <c r="M14" i="2"/>
  <c r="I14" i="2"/>
  <c r="AC14" i="2"/>
  <c r="P14" i="2"/>
  <c r="X14" i="2"/>
  <c r="H14" i="2"/>
  <c r="L14" i="2"/>
  <c r="Q14" i="2"/>
  <c r="AF14" i="2"/>
</calcChain>
</file>

<file path=xl/sharedStrings.xml><?xml version="1.0" encoding="utf-8"?>
<sst xmlns="http://schemas.openxmlformats.org/spreadsheetml/2006/main" count="25" uniqueCount="14">
  <si>
    <t>l</t>
  </si>
  <si>
    <t>dx</t>
  </si>
  <si>
    <t>dt</t>
  </si>
  <si>
    <t>t</t>
  </si>
  <si>
    <t>Cp</t>
  </si>
  <si>
    <t>L</t>
  </si>
  <si>
    <t>T</t>
  </si>
  <si>
    <t>lambda</t>
  </si>
  <si>
    <t>ro</t>
  </si>
  <si>
    <t>T_start</t>
  </si>
  <si>
    <t>T_end</t>
  </si>
  <si>
    <t>T_iter</t>
  </si>
  <si>
    <t>q_start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</si>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</sst>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entury Gothic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</cellXfs>
  <cellStyles count="1">
    <cellStyle name="Обычный" xfId="0" builtinId="0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15782407407407409"/>
          <c:w val="0.7550436877208530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6"/>
              </a:solidFill>
              <a:round/>
            </a:ln>
            <a:effectLst>
              <a:outerShdw blurRad="63500" dist="38100" dir="5400000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tint val="98000"/>
                      <a:lumMod val="114000"/>
                    </a:schemeClr>
                  </a:gs>
                  <a:gs pos="100000">
                    <a:schemeClr val="accent6">
                      <a:shade val="90000"/>
                      <a:lumMod val="84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63500" dist="38100" dir="5400000" rotWithShape="0">
                  <a:srgbClr val="000000">
                    <a:alpha val="6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</c:marker>
          <c:xVal>
            <c:numRef>
              <c:f>Лист1!$E$11:$AI$11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Лист1!$E$12:$AI$12</c:f>
              <c:numCache>
                <c:formatCode>General</c:formatCode>
                <c:ptCount val="31"/>
                <c:pt idx="0">
                  <c:v>300</c:v>
                </c:pt>
                <c:pt idx="1">
                  <c:v>293.29295678131149</c:v>
                </c:pt>
                <c:pt idx="2">
                  <c:v>286.58591356262298</c:v>
                </c:pt>
                <c:pt idx="3">
                  <c:v>279.88063499301381</c:v>
                </c:pt>
                <c:pt idx="4">
                  <c:v>273.17535642340465</c:v>
                </c:pt>
                <c:pt idx="5">
                  <c:v>266.4735300283204</c:v>
                </c:pt>
                <c:pt idx="6">
                  <c:v>259.7717036332362</c:v>
                </c:pt>
                <c:pt idx="7">
                  <c:v>253.07486606152787</c:v>
                </c:pt>
                <c:pt idx="8">
                  <c:v>246.37802848981954</c:v>
                </c:pt>
                <c:pt idx="9">
                  <c:v>239.68749835481429</c:v>
                </c:pt>
                <c:pt idx="10">
                  <c:v>232.99696821980905</c:v>
                </c:pt>
                <c:pt idx="11">
                  <c:v>226.31378846958043</c:v>
                </c:pt>
                <c:pt idx="12">
                  <c:v>219.63060871935181</c:v>
                </c:pt>
                <c:pt idx="13">
                  <c:v>212.95550105488471</c:v>
                </c:pt>
                <c:pt idx="14">
                  <c:v>206.2803933904176</c:v>
                </c:pt>
                <c:pt idx="15">
                  <c:v>199.61372672381293</c:v>
                </c:pt>
                <c:pt idx="16">
                  <c:v>192.94706005720829</c:v>
                </c:pt>
                <c:pt idx="17">
                  <c:v>186.28883438845537</c:v>
                </c:pt>
                <c:pt idx="18">
                  <c:v>179.63060871970248</c:v>
                </c:pt>
                <c:pt idx="19">
                  <c:v>172.98045513668075</c:v>
                </c:pt>
                <c:pt idx="20">
                  <c:v>166.33030155365904</c:v>
                </c:pt>
                <c:pt idx="21">
                  <c:v>159.68749835536929</c:v>
                </c:pt>
                <c:pt idx="22">
                  <c:v>153.04469515707953</c:v>
                </c:pt>
                <c:pt idx="23">
                  <c:v>146.40819939544159</c:v>
                </c:pt>
                <c:pt idx="24">
                  <c:v>139.77170363380364</c:v>
                </c:pt>
                <c:pt idx="25">
                  <c:v>133.14019669549253</c:v>
                </c:pt>
                <c:pt idx="26">
                  <c:v>126.50868975718139</c:v>
                </c:pt>
                <c:pt idx="27">
                  <c:v>119.88063499335684</c:v>
                </c:pt>
                <c:pt idx="28">
                  <c:v>113.25258022953227</c:v>
                </c:pt>
                <c:pt idx="29">
                  <c:v>106.62629011476614</c:v>
                </c:pt>
                <c:pt idx="3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8-4205-9D3F-05F1477F9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021439"/>
        <c:axId val="326017695"/>
      </c:scatterChart>
      <c:valAx>
        <c:axId val="326021439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017695"/>
        <c:crosses val="autoZero"/>
        <c:crossBetween val="midCat"/>
      </c:valAx>
      <c:valAx>
        <c:axId val="32601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021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15782407407407409"/>
          <c:w val="0.75504368772085306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6"/>
              </a:solidFill>
              <a:round/>
            </a:ln>
            <a:effectLst>
              <a:outerShdw blurRad="63500" dist="38100" dir="5400000" rotWithShape="0">
                <a:srgbClr val="000000">
                  <a:alpha val="60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tint val="98000"/>
                      <a:lumMod val="114000"/>
                    </a:schemeClr>
                  </a:gs>
                  <a:gs pos="100000">
                    <a:schemeClr val="accent6">
                      <a:shade val="90000"/>
                      <a:lumMod val="84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63500" dist="38100" dir="5400000" rotWithShape="0">
                  <a:srgbClr val="000000">
                    <a:alpha val="60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</c:marker>
          <c:xVal>
            <c:numRef>
              <c:f>Лист1!$E$11:$AI$11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Лист1!$E$12:$AI$12</c:f>
              <c:numCache>
                <c:formatCode>General</c:formatCode>
                <c:ptCount val="31"/>
                <c:pt idx="0">
                  <c:v>300</c:v>
                </c:pt>
                <c:pt idx="1">
                  <c:v>293.29295678131149</c:v>
                </c:pt>
                <c:pt idx="2">
                  <c:v>286.58591356262298</c:v>
                </c:pt>
                <c:pt idx="3">
                  <c:v>279.88063499301381</c:v>
                </c:pt>
                <c:pt idx="4">
                  <c:v>273.17535642340465</c:v>
                </c:pt>
                <c:pt idx="5">
                  <c:v>266.4735300283204</c:v>
                </c:pt>
                <c:pt idx="6">
                  <c:v>259.7717036332362</c:v>
                </c:pt>
                <c:pt idx="7">
                  <c:v>253.07486606152787</c:v>
                </c:pt>
                <c:pt idx="8">
                  <c:v>246.37802848981954</c:v>
                </c:pt>
                <c:pt idx="9">
                  <c:v>239.68749835481429</c:v>
                </c:pt>
                <c:pt idx="10">
                  <c:v>232.99696821980905</c:v>
                </c:pt>
                <c:pt idx="11">
                  <c:v>226.31378846958043</c:v>
                </c:pt>
                <c:pt idx="12">
                  <c:v>219.63060871935181</c:v>
                </c:pt>
                <c:pt idx="13">
                  <c:v>212.95550105488471</c:v>
                </c:pt>
                <c:pt idx="14">
                  <c:v>206.2803933904176</c:v>
                </c:pt>
                <c:pt idx="15">
                  <c:v>199.61372672381293</c:v>
                </c:pt>
                <c:pt idx="16">
                  <c:v>192.94706005720829</c:v>
                </c:pt>
                <c:pt idx="17">
                  <c:v>186.28883438845537</c:v>
                </c:pt>
                <c:pt idx="18">
                  <c:v>179.63060871970248</c:v>
                </c:pt>
                <c:pt idx="19">
                  <c:v>172.98045513668075</c:v>
                </c:pt>
                <c:pt idx="20">
                  <c:v>166.33030155365904</c:v>
                </c:pt>
                <c:pt idx="21">
                  <c:v>159.68749835536929</c:v>
                </c:pt>
                <c:pt idx="22">
                  <c:v>153.04469515707953</c:v>
                </c:pt>
                <c:pt idx="23">
                  <c:v>146.40819939544159</c:v>
                </c:pt>
                <c:pt idx="24">
                  <c:v>139.77170363380364</c:v>
                </c:pt>
                <c:pt idx="25">
                  <c:v>133.14019669549253</c:v>
                </c:pt>
                <c:pt idx="26">
                  <c:v>126.50868975718139</c:v>
                </c:pt>
                <c:pt idx="27">
                  <c:v>119.88063499335684</c:v>
                </c:pt>
                <c:pt idx="28">
                  <c:v>113.25258022953227</c:v>
                </c:pt>
                <c:pt idx="29">
                  <c:v>106.62629011476614</c:v>
                </c:pt>
                <c:pt idx="3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7-47B8-A166-F8412BE5F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021439"/>
        <c:axId val="326017695"/>
      </c:scatterChart>
      <c:valAx>
        <c:axId val="326021439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017695"/>
        <c:crosses val="autoZero"/>
        <c:crossBetween val="midCat"/>
      </c:valAx>
      <c:valAx>
        <c:axId val="32601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021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219808</xdr:colOff>
      <xdr:row>14</xdr:row>
      <xdr:rowOff>48648</xdr:rowOff>
    </xdr:from>
    <xdr:to>
      <xdr:col>34</xdr:col>
      <xdr:colOff>688729</xdr:colOff>
      <xdr:row>41</xdr:row>
      <xdr:rowOff>131883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410308</xdr:colOff>
      <xdr:row>17</xdr:row>
      <xdr:rowOff>175845</xdr:rowOff>
    </xdr:from>
    <xdr:ext cx="855785" cy="264560"/>
    <xdr:sp macro="" textlink="">
      <xdr:nvSpPr>
        <xdr:cNvPr id="3" name="TextBox 2"/>
        <xdr:cNvSpPr txBox="1"/>
      </xdr:nvSpPr>
      <xdr:spPr>
        <a:xfrm>
          <a:off x="6811108" y="3364522"/>
          <a:ext cx="85578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solidFill>
                <a:schemeClr val="bg1"/>
              </a:solidFill>
            </a:rPr>
            <a:t>T, C</a:t>
          </a:r>
          <a:endParaRPr lang="ru-RU" sz="11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0.87986</cdr:x>
      <cdr:y>0.87607</cdr:y>
    </cdr:from>
    <cdr:to>
      <cdr:x>0.98113</cdr:x>
      <cdr:y>0.95128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5770539" y="3089801"/>
          <a:ext cx="664177" cy="26526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bg1"/>
              </a:solidFill>
            </a:rPr>
            <a:t>L, m</a:t>
          </a:r>
          <a:endParaRPr lang="ru-RU" sz="1100">
            <a:solidFill>
              <a:schemeClr val="bg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304801</xdr:colOff>
      <xdr:row>14</xdr:row>
      <xdr:rowOff>2976</xdr:rowOff>
    </xdr:from>
    <xdr:to>
      <xdr:col>35</xdr:col>
      <xdr:colOff>9901</xdr:colOff>
      <xdr:row>39</xdr:row>
      <xdr:rowOff>133350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0.87986</cdr:x>
      <cdr:y>0.87607</cdr:y>
    </cdr:from>
    <cdr:to>
      <cdr:x>0.98113</cdr:x>
      <cdr:y>0.94673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5682851" y="3288757"/>
          <a:ext cx="654084" cy="26526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bg1"/>
              </a:solidFill>
            </a:rPr>
            <a:t>L, m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0.00881</cdr:x>
      <cdr:y>0.01574</cdr:y>
    </cdr:from>
    <cdr:to>
      <cdr:x>0.09003</cdr:x>
      <cdr:y>0.0864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6903" y="59088"/>
          <a:ext cx="524610" cy="26526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bg1"/>
              </a:solidFill>
            </a:rPr>
            <a:t>T, C</a:t>
          </a:r>
          <a:endParaRPr lang="ru-RU" sz="1100">
            <a:solidFill>
              <a:schemeClr val="bg1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Таблица1" displayName="Таблица1" ref="B4:C16" headerRowCount="0" totalsRowShown="0" headerRowDxfId="11" dataDxfId="10">
  <tableColumns count="2">
    <tableColumn id="1" name="Столбец1" headerRowDxfId="9" dataDxfId="8"/>
    <tableColumn id="2" name="Столбец2" headerRowDxfId="7" dataDxfId="6"/>
  </tableColumns>
  <tableStyleInfo name="TableStyleLight8" showFirstColumn="1" showLastColumn="0" showRowStripes="1" showColumnStripes="0"/>
</table>
</file>

<file path=xl/tables/table2.xml><?xml version="1.0" encoding="utf-8"?>
<table xmlns="http://schemas.openxmlformats.org/spreadsheetml/2006/main" id="2" name="Таблица13" displayName="Таблица13" ref="B4:C16" headerRowCount="0" totalsRowShown="0" headerRowDxfId="5" dataDxfId="4">
  <tableColumns count="2">
    <tableColumn id="1" name="Столбец1" headerRowDxfId="3" dataDxfId="2"/>
    <tableColumn id="2" name="Столбец2" headerRowDxfId="1" dataDxfId="0"/>
  </tableColumns>
  <tableStyleInfo name="TableStyleLight8" showFirstColumn="1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Совет директоров">
  <a:themeElements>
    <a:clrScheme name="Совет директоров">
      <a:dk1>
        <a:sysClr val="windowText" lastClr="000000"/>
      </a:dk1>
      <a:lt1>
        <a:sysClr val="window" lastClr="FFFFFF"/>
      </a:lt1>
      <a:dk2>
        <a:srgbClr val="3B3059"/>
      </a:dk2>
      <a:lt2>
        <a:srgbClr val="EBEBEB"/>
      </a:lt2>
      <a:accent1>
        <a:srgbClr val="B31166"/>
      </a:accent1>
      <a:accent2>
        <a:srgbClr val="E33D6F"/>
      </a:accent2>
      <a:accent3>
        <a:srgbClr val="E45F3C"/>
      </a:accent3>
      <a:accent4>
        <a:srgbClr val="E9943A"/>
      </a:accent4>
      <a:accent5>
        <a:srgbClr val="9B6BF2"/>
      </a:accent5>
      <a:accent6>
        <a:srgbClr val="D53DD0"/>
      </a:accent6>
      <a:hlink>
        <a:srgbClr val="8F8F8F"/>
      </a:hlink>
      <a:folHlink>
        <a:srgbClr val="A5A5A5"/>
      </a:folHlink>
    </a:clrScheme>
    <a:fontScheme name="Совет директоров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овет директоров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23"/>
  <sheetViews>
    <sheetView tabSelected="1" zoomScale="60" zoomScaleNormal="60" workbookViewId="0">
      <selection activeCell="M32" sqref="M32"/>
    </sheetView>
  </sheetViews>
  <sheetFormatPr defaultRowHeight="16.5" x14ac:dyDescent="0.3"/>
  <cols>
    <col min="2" max="3" width="11" customWidth="1"/>
  </cols>
  <sheetData>
    <row r="1" spans="1:35" x14ac:dyDescent="0.3">
      <c r="A1" s="1"/>
      <c r="B1" s="1"/>
      <c r="C1" s="1"/>
      <c r="D1" s="1"/>
      <c r="E1" s="1"/>
      <c r="F1" s="1"/>
      <c r="G1" s="1"/>
      <c r="H1" s="1"/>
      <c r="I1" s="1"/>
    </row>
    <row r="2" spans="1:35" x14ac:dyDescent="0.3">
      <c r="A2" s="1"/>
      <c r="B2" s="1"/>
      <c r="C2" s="1"/>
      <c r="D2" s="1"/>
      <c r="E2" s="1"/>
      <c r="F2" s="1"/>
      <c r="G2" s="1"/>
      <c r="H2" s="1"/>
      <c r="I2" s="1"/>
    </row>
    <row r="3" spans="1:35" x14ac:dyDescent="0.3">
      <c r="A3" s="1"/>
      <c r="D3" s="1"/>
      <c r="E3" s="1"/>
      <c r="F3" s="1"/>
      <c r="G3" s="1"/>
      <c r="H3" s="1"/>
      <c r="I3" s="1"/>
    </row>
    <row r="4" spans="1:35" x14ac:dyDescent="0.3">
      <c r="A4" s="1"/>
      <c r="B4" s="2" t="s">
        <v>0</v>
      </c>
      <c r="C4" s="2">
        <v>0.1</v>
      </c>
      <c r="D4" s="2"/>
      <c r="E4" s="2"/>
      <c r="F4" s="2"/>
      <c r="G4" s="2"/>
      <c r="H4" s="2"/>
      <c r="I4" s="2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spans="1:35" x14ac:dyDescent="0.3">
      <c r="A5" s="1"/>
      <c r="B5" s="2" t="s">
        <v>1</v>
      </c>
      <c r="C5" s="2">
        <f>0.1/30</f>
        <v>3.3333333333333335E-3</v>
      </c>
      <c r="D5" s="2"/>
      <c r="E5" s="2"/>
      <c r="F5" s="2"/>
      <c r="G5" s="2"/>
      <c r="H5" s="2"/>
      <c r="I5" s="2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35" x14ac:dyDescent="0.3">
      <c r="A6" s="1"/>
      <c r="B6" s="2" t="s">
        <v>2</v>
      </c>
      <c r="C6" s="2">
        <f>(C10*C9*C5^2)/(2*C11)</f>
        <v>0.4333333333333334</v>
      </c>
      <c r="D6" s="2"/>
      <c r="E6" s="2"/>
      <c r="F6" s="2"/>
      <c r="G6" s="2"/>
      <c r="H6" s="2"/>
      <c r="I6" s="2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35" x14ac:dyDescent="0.3">
      <c r="A7" s="1"/>
      <c r="B7" s="2" t="s">
        <v>3</v>
      </c>
      <c r="C7" s="2">
        <v>500</v>
      </c>
      <c r="D7" s="2">
        <v>500.43333333333334</v>
      </c>
      <c r="E7" s="2"/>
      <c r="F7" s="2"/>
      <c r="G7" s="2"/>
      <c r="H7" s="2"/>
      <c r="I7" s="2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</row>
    <row r="8" spans="1:35" x14ac:dyDescent="0.3">
      <c r="A8" s="1"/>
      <c r="B8" s="2"/>
      <c r="C8" s="2"/>
      <c r="D8" s="2"/>
      <c r="E8" s="2"/>
      <c r="F8" s="2"/>
      <c r="G8" s="2"/>
      <c r="H8" s="2"/>
      <c r="I8" s="2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</row>
    <row r="9" spans="1:35" x14ac:dyDescent="0.3">
      <c r="A9" s="1"/>
      <c r="B9" s="2" t="s">
        <v>4</v>
      </c>
      <c r="C9" s="2">
        <v>460</v>
      </c>
      <c r="D9" s="2"/>
      <c r="E9" s="2"/>
      <c r="F9" s="2"/>
      <c r="G9" s="2"/>
      <c r="H9" s="2"/>
      <c r="I9" s="2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</row>
    <row r="10" spans="1:35" x14ac:dyDescent="0.3">
      <c r="A10" s="1"/>
      <c r="B10" s="2" t="s">
        <v>8</v>
      </c>
      <c r="C10" s="2">
        <v>7800</v>
      </c>
      <c r="D10" s="2"/>
      <c r="E10" s="2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">
        <v>12</v>
      </c>
      <c r="Q10" s="2">
        <v>13</v>
      </c>
      <c r="R10" s="2">
        <v>14</v>
      </c>
      <c r="S10" s="2">
        <v>15</v>
      </c>
      <c r="T10" s="2">
        <v>16</v>
      </c>
      <c r="U10" s="2">
        <v>17</v>
      </c>
      <c r="V10" s="2">
        <v>18</v>
      </c>
      <c r="W10" s="2">
        <v>19</v>
      </c>
      <c r="X10" s="2">
        <v>20</v>
      </c>
      <c r="Y10" s="2">
        <v>21</v>
      </c>
      <c r="Z10" s="2">
        <v>22</v>
      </c>
      <c r="AA10" s="2">
        <v>23</v>
      </c>
      <c r="AB10" s="2">
        <v>24</v>
      </c>
      <c r="AC10" s="2">
        <v>25</v>
      </c>
      <c r="AD10" s="2">
        <v>26</v>
      </c>
      <c r="AE10" s="2">
        <v>27</v>
      </c>
      <c r="AF10" s="2">
        <v>28</v>
      </c>
      <c r="AG10" s="2">
        <v>29</v>
      </c>
      <c r="AH10" s="2">
        <v>30</v>
      </c>
      <c r="AI10" s="2">
        <v>31</v>
      </c>
    </row>
    <row r="11" spans="1:35" x14ac:dyDescent="0.3">
      <c r="A11" s="1"/>
      <c r="B11" s="2" t="s">
        <v>7</v>
      </c>
      <c r="C11" s="2">
        <v>46</v>
      </c>
      <c r="D11" s="2" t="s">
        <v>5</v>
      </c>
      <c r="E11" s="2">
        <v>0</v>
      </c>
      <c r="F11" s="2">
        <f t="shared" ref="F11:AI11" si="0">E11+$C$5</f>
        <v>3.3333333333333335E-3</v>
      </c>
      <c r="G11" s="2">
        <f t="shared" si="0"/>
        <v>6.6666666666666671E-3</v>
      </c>
      <c r="H11" s="2">
        <f t="shared" si="0"/>
        <v>0.01</v>
      </c>
      <c r="I11" s="2">
        <f t="shared" si="0"/>
        <v>1.3333333333333334E-2</v>
      </c>
      <c r="J11" s="2">
        <f t="shared" si="0"/>
        <v>1.6666666666666666E-2</v>
      </c>
      <c r="K11" s="2">
        <f t="shared" si="0"/>
        <v>0.02</v>
      </c>
      <c r="L11" s="2">
        <f t="shared" si="0"/>
        <v>2.3333333333333334E-2</v>
      </c>
      <c r="M11" s="2">
        <f t="shared" si="0"/>
        <v>2.6666666666666668E-2</v>
      </c>
      <c r="N11" s="2">
        <f t="shared" si="0"/>
        <v>3.0000000000000002E-2</v>
      </c>
      <c r="O11" s="2">
        <f t="shared" si="0"/>
        <v>3.3333333333333333E-2</v>
      </c>
      <c r="P11" s="2">
        <f t="shared" si="0"/>
        <v>3.6666666666666667E-2</v>
      </c>
      <c r="Q11" s="2">
        <f t="shared" si="0"/>
        <v>0.04</v>
      </c>
      <c r="R11" s="2">
        <f t="shared" si="0"/>
        <v>4.3333333333333335E-2</v>
      </c>
      <c r="S11" s="2">
        <f t="shared" si="0"/>
        <v>4.6666666666666669E-2</v>
      </c>
      <c r="T11" s="2">
        <f t="shared" si="0"/>
        <v>0.05</v>
      </c>
      <c r="U11" s="2">
        <f t="shared" si="0"/>
        <v>5.3333333333333337E-2</v>
      </c>
      <c r="V11" s="2">
        <f t="shared" si="0"/>
        <v>5.6666666666666671E-2</v>
      </c>
      <c r="W11" s="2">
        <f t="shared" si="0"/>
        <v>6.0000000000000005E-2</v>
      </c>
      <c r="X11" s="2">
        <f t="shared" si="0"/>
        <v>6.3333333333333339E-2</v>
      </c>
      <c r="Y11" s="2">
        <f t="shared" si="0"/>
        <v>6.6666666666666666E-2</v>
      </c>
      <c r="Z11" s="2">
        <f t="shared" si="0"/>
        <v>6.9999999999999993E-2</v>
      </c>
      <c r="AA11" s="2">
        <f t="shared" si="0"/>
        <v>7.333333333333332E-2</v>
      </c>
      <c r="AB11" s="2">
        <f t="shared" si="0"/>
        <v>7.6666666666666647E-2</v>
      </c>
      <c r="AC11" s="2">
        <f t="shared" si="0"/>
        <v>7.9999999999999974E-2</v>
      </c>
      <c r="AD11" s="2">
        <f t="shared" si="0"/>
        <v>8.3333333333333301E-2</v>
      </c>
      <c r="AE11" s="2">
        <f t="shared" si="0"/>
        <v>8.6666666666666628E-2</v>
      </c>
      <c r="AF11" s="2">
        <f t="shared" si="0"/>
        <v>8.9999999999999955E-2</v>
      </c>
      <c r="AG11" s="2">
        <f t="shared" si="0"/>
        <v>9.3333333333333282E-2</v>
      </c>
      <c r="AH11" s="2">
        <f t="shared" si="0"/>
        <v>9.6666666666666609E-2</v>
      </c>
      <c r="AI11" s="2">
        <f t="shared" si="0"/>
        <v>9.9999999999999936E-2</v>
      </c>
    </row>
    <row r="12" spans="1:35" x14ac:dyDescent="0.3">
      <c r="A12" s="1"/>
      <c r="B12" s="2"/>
      <c r="C12" s="2"/>
      <c r="D12" s="2" t="s">
        <v>6</v>
      </c>
      <c r="E12" s="2">
        <f>C15</f>
        <v>300</v>
      </c>
      <c r="F12" s="2">
        <v>293.29295678131149</v>
      </c>
      <c r="G12" s="2">
        <v>286.58591356262298</v>
      </c>
      <c r="H12" s="2">
        <v>279.88063499301381</v>
      </c>
      <c r="I12" s="2">
        <v>273.17535642340465</v>
      </c>
      <c r="J12" s="2">
        <v>266.4735300283204</v>
      </c>
      <c r="K12" s="2">
        <v>259.7717036332362</v>
      </c>
      <c r="L12" s="2">
        <v>253.07486606152787</v>
      </c>
      <c r="M12" s="2">
        <v>246.37802848981954</v>
      </c>
      <c r="N12" s="2">
        <v>239.68749835481429</v>
      </c>
      <c r="O12" s="2">
        <v>232.99696821980905</v>
      </c>
      <c r="P12" s="2">
        <v>226.31378846958043</v>
      </c>
      <c r="Q12" s="2">
        <v>219.63060871935181</v>
      </c>
      <c r="R12" s="2">
        <v>212.95550105488471</v>
      </c>
      <c r="S12" s="2">
        <v>206.2803933904176</v>
      </c>
      <c r="T12" s="2">
        <v>199.61372672381293</v>
      </c>
      <c r="U12" s="2">
        <v>192.94706005720829</v>
      </c>
      <c r="V12" s="2">
        <v>186.28883438845537</v>
      </c>
      <c r="W12" s="2">
        <v>179.63060871970248</v>
      </c>
      <c r="X12" s="2">
        <v>172.98045513668075</v>
      </c>
      <c r="Y12" s="2">
        <v>166.33030155365904</v>
      </c>
      <c r="Z12" s="2">
        <v>159.68749835536929</v>
      </c>
      <c r="AA12" s="2">
        <v>153.04469515707953</v>
      </c>
      <c r="AB12" s="2">
        <v>146.40819939544159</v>
      </c>
      <c r="AC12" s="2">
        <v>139.77170363380364</v>
      </c>
      <c r="AD12" s="2">
        <v>133.14019669549253</v>
      </c>
      <c r="AE12" s="2">
        <v>126.50868975718139</v>
      </c>
      <c r="AF12" s="2">
        <v>119.88063499335684</v>
      </c>
      <c r="AG12" s="2">
        <v>113.25258022953227</v>
      </c>
      <c r="AH12" s="2">
        <v>106.62629011476614</v>
      </c>
      <c r="AI12" s="3">
        <f>C16</f>
        <v>100</v>
      </c>
    </row>
    <row r="13" spans="1:35" x14ac:dyDescent="0.3">
      <c r="A13" s="1"/>
      <c r="B13" s="2"/>
      <c r="C13" s="2"/>
      <c r="D13" s="2" t="s">
        <v>11</v>
      </c>
      <c r="E13" s="2"/>
      <c r="F13" s="2">
        <f>F12+($C$11*$C$6)/($C$10*$C$9)*((G12-2*F12+E12)/$C$5^2)</f>
        <v>293.29295678131149</v>
      </c>
      <c r="G13" s="2">
        <f t="shared" ref="G13:AH13" si="1">G12+($C$11*$C$6)/($C$10*$C$9)*((H12-2*G12+F12)/$C$5^2)</f>
        <v>286.58679588716268</v>
      </c>
      <c r="H13" s="2">
        <f t="shared" si="1"/>
        <v>279.88063499301381</v>
      </c>
      <c r="I13" s="2">
        <f t="shared" si="1"/>
        <v>273.17708251066711</v>
      </c>
      <c r="J13" s="2">
        <f t="shared" si="1"/>
        <v>266.4735300283204</v>
      </c>
      <c r="K13" s="2">
        <f t="shared" si="1"/>
        <v>259.77419804492411</v>
      </c>
      <c r="L13" s="2">
        <f t="shared" si="1"/>
        <v>253.07486606152787</v>
      </c>
      <c r="M13" s="2">
        <f t="shared" si="1"/>
        <v>246.38118220817108</v>
      </c>
      <c r="N13" s="2">
        <f t="shared" si="1"/>
        <v>239.68749835481429</v>
      </c>
      <c r="O13" s="2">
        <f t="shared" si="1"/>
        <v>233.00064341219735</v>
      </c>
      <c r="P13" s="2">
        <f t="shared" si="1"/>
        <v>226.31378846958043</v>
      </c>
      <c r="Q13" s="2">
        <f t="shared" si="1"/>
        <v>219.63464476223257</v>
      </c>
      <c r="R13" s="2">
        <f t="shared" si="1"/>
        <v>212.95550105488471</v>
      </c>
      <c r="S13" s="2">
        <f t="shared" si="1"/>
        <v>206.2846138893488</v>
      </c>
      <c r="T13" s="2">
        <f t="shared" si="1"/>
        <v>199.61372672381293</v>
      </c>
      <c r="U13" s="2">
        <f t="shared" si="1"/>
        <v>192.95128055613415</v>
      </c>
      <c r="V13" s="2">
        <f t="shared" si="1"/>
        <v>186.28883438845537</v>
      </c>
      <c r="W13" s="2">
        <f t="shared" si="1"/>
        <v>179.63464476256806</v>
      </c>
      <c r="X13" s="2">
        <f t="shared" si="1"/>
        <v>172.98045513668075</v>
      </c>
      <c r="Y13" s="2">
        <f t="shared" si="1"/>
        <v>166.33397674602503</v>
      </c>
      <c r="Z13" s="2">
        <f t="shared" si="1"/>
        <v>159.68749835536929</v>
      </c>
      <c r="AA13" s="2">
        <f t="shared" si="1"/>
        <v>153.04784887540544</v>
      </c>
      <c r="AB13" s="2">
        <f t="shared" si="1"/>
        <v>146.40819939544159</v>
      </c>
      <c r="AC13" s="2">
        <f t="shared" si="1"/>
        <v>139.77419804546707</v>
      </c>
      <c r="AD13" s="2">
        <f t="shared" si="1"/>
        <v>133.14019669549253</v>
      </c>
      <c r="AE13" s="2">
        <f t="shared" si="1"/>
        <v>126.51041584442468</v>
      </c>
      <c r="AF13" s="2">
        <f t="shared" si="1"/>
        <v>119.88063499335684</v>
      </c>
      <c r="AG13" s="2">
        <f t="shared" si="1"/>
        <v>113.25346255406149</v>
      </c>
      <c r="AH13" s="2">
        <f t="shared" si="1"/>
        <v>106.62629011476614</v>
      </c>
      <c r="AI13" s="3"/>
    </row>
    <row r="14" spans="1:35" x14ac:dyDescent="0.3">
      <c r="A14" s="1"/>
      <c r="B14" s="2"/>
      <c r="C14" s="2"/>
      <c r="D14" s="2"/>
      <c r="E14" s="2"/>
      <c r="F14" s="2"/>
      <c r="G14" s="2"/>
      <c r="H14" s="2"/>
      <c r="I14" s="2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</row>
    <row r="15" spans="1:35" x14ac:dyDescent="0.3">
      <c r="A15" s="1"/>
      <c r="B15" s="2" t="s">
        <v>9</v>
      </c>
      <c r="C15" s="2">
        <v>300</v>
      </c>
      <c r="D15" s="1"/>
      <c r="E15" s="1"/>
      <c r="F15" s="1"/>
      <c r="G15" s="1"/>
      <c r="H15" s="1"/>
      <c r="I15" s="1"/>
    </row>
    <row r="16" spans="1:35" x14ac:dyDescent="0.3">
      <c r="A16" s="1"/>
      <c r="B16" s="2" t="s">
        <v>10</v>
      </c>
      <c r="C16" s="2">
        <v>100</v>
      </c>
      <c r="D16" s="1"/>
      <c r="E16" s="1"/>
      <c r="F16" s="1"/>
      <c r="G16" s="1"/>
      <c r="H16" s="1"/>
      <c r="I16" s="1"/>
    </row>
    <row r="17" spans="1:9" x14ac:dyDescent="0.3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3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3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3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3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3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3">
      <c r="A23" s="1"/>
      <c r="B23" s="1"/>
      <c r="C23" s="1"/>
      <c r="D23" s="1"/>
      <c r="E23" s="1"/>
      <c r="F23" s="1"/>
      <c r="G23" s="1"/>
      <c r="H23" s="1"/>
      <c r="I23" s="1"/>
    </row>
  </sheetData>
  <conditionalFormatting sqref="E12:AI12">
    <cfRule type="colorScale" priority="2">
      <colorScale>
        <cfvo type="min"/>
        <cfvo type="percentile" val="50"/>
        <cfvo type="max"/>
        <color rgb="FF0070C0"/>
        <color rgb="FFFFEB84"/>
        <color rgb="FFC00000"/>
      </colorScale>
    </cfRule>
    <cfRule type="colorScale" priority="1">
      <colorScale>
        <cfvo type="min"/>
        <cfvo type="max"/>
        <color theme="9" tint="0.79998168889431442"/>
        <color theme="9" tint="-0.499984740745262"/>
      </colorScale>
    </cfRule>
  </conditionalFormatting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I23"/>
  <sheetViews>
    <sheetView zoomScale="50" zoomScaleNormal="50" workbookViewId="0">
      <selection activeCell="Q39" sqref="Q39"/>
    </sheetView>
  </sheetViews>
  <sheetFormatPr defaultRowHeight="16.5" x14ac:dyDescent="0.3"/>
  <sheetData>
    <row r="1" spans="1:35" x14ac:dyDescent="0.3">
      <c r="A1" s="1"/>
      <c r="B1" s="1"/>
      <c r="C1" s="1"/>
      <c r="D1" s="1"/>
      <c r="E1" s="1"/>
      <c r="F1" s="1"/>
      <c r="G1" s="1"/>
      <c r="H1" s="1"/>
      <c r="I1" s="1"/>
    </row>
    <row r="2" spans="1:35" x14ac:dyDescent="0.3">
      <c r="A2" s="1"/>
      <c r="B2" s="1"/>
      <c r="C2" s="1"/>
      <c r="D2" s="1"/>
      <c r="E2" s="1"/>
      <c r="F2" s="1"/>
      <c r="G2" s="1"/>
      <c r="H2" s="1"/>
      <c r="I2" s="1"/>
    </row>
    <row r="3" spans="1:35" x14ac:dyDescent="0.3">
      <c r="A3" s="1"/>
      <c r="D3" s="1"/>
      <c r="E3" s="1"/>
      <c r="F3" s="1"/>
      <c r="G3" s="1"/>
      <c r="H3" s="1"/>
      <c r="I3" s="1"/>
    </row>
    <row r="4" spans="1:35" x14ac:dyDescent="0.3">
      <c r="A4" s="1"/>
      <c r="B4" s="2" t="s">
        <v>0</v>
      </c>
      <c r="C4" s="2">
        <v>0.1</v>
      </c>
      <c r="D4" s="2"/>
      <c r="E4" s="2"/>
      <c r="F4" s="2"/>
      <c r="G4" s="2"/>
      <c r="H4" s="2"/>
      <c r="I4" s="2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spans="1:35" x14ac:dyDescent="0.3">
      <c r="A5" s="1"/>
      <c r="B5" s="2" t="s">
        <v>1</v>
      </c>
      <c r="C5" s="2">
        <f>0.1/30</f>
        <v>3.3333333333333335E-3</v>
      </c>
      <c r="D5" s="2"/>
      <c r="E5" s="2"/>
      <c r="F5" s="2"/>
      <c r="G5" s="2"/>
      <c r="H5" s="2"/>
      <c r="I5" s="2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35" x14ac:dyDescent="0.3">
      <c r="A6" s="1"/>
      <c r="B6" s="2" t="s">
        <v>2</v>
      </c>
      <c r="C6" s="2">
        <f>(C10*C9*C5^2)/(2*C11)</f>
        <v>0.4333333333333334</v>
      </c>
      <c r="D6" s="2"/>
      <c r="E6" s="2"/>
      <c r="F6" s="2"/>
      <c r="G6" s="2"/>
      <c r="H6" s="2"/>
      <c r="I6" s="2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35" x14ac:dyDescent="0.3">
      <c r="A7" s="1"/>
      <c r="B7" s="2" t="s">
        <v>3</v>
      </c>
      <c r="C7" s="2">
        <v>5000</v>
      </c>
      <c r="D7" s="2">
        <v>5000.2333333333345</v>
      </c>
      <c r="E7" s="2"/>
      <c r="F7" s="2"/>
      <c r="G7" s="2"/>
      <c r="H7" s="2"/>
      <c r="I7" s="2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</row>
    <row r="8" spans="1:35" x14ac:dyDescent="0.3">
      <c r="A8" s="1"/>
      <c r="B8" s="2"/>
      <c r="C8" s="2"/>
      <c r="D8" s="2"/>
      <c r="E8" s="2"/>
      <c r="F8" s="2"/>
      <c r="G8" s="2"/>
      <c r="H8" s="2"/>
      <c r="I8" s="2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</row>
    <row r="9" spans="1:35" x14ac:dyDescent="0.3">
      <c r="A9" s="1"/>
      <c r="B9" s="2" t="s">
        <v>4</v>
      </c>
      <c r="C9" s="2">
        <v>460</v>
      </c>
      <c r="D9" s="2"/>
      <c r="E9" s="2"/>
      <c r="F9" s="2"/>
      <c r="G9" s="2"/>
      <c r="H9" s="2"/>
      <c r="I9" s="2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</row>
    <row r="10" spans="1:35" x14ac:dyDescent="0.3">
      <c r="A10" s="1"/>
      <c r="B10" s="2" t="s">
        <v>8</v>
      </c>
      <c r="C10" s="2">
        <v>7800</v>
      </c>
      <c r="D10" s="2"/>
      <c r="E10" s="2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">
        <v>12</v>
      </c>
      <c r="Q10" s="2">
        <v>13</v>
      </c>
      <c r="R10" s="2">
        <v>14</v>
      </c>
      <c r="S10" s="2">
        <v>15</v>
      </c>
      <c r="T10" s="2">
        <v>16</v>
      </c>
      <c r="U10" s="2">
        <v>17</v>
      </c>
      <c r="V10" s="2">
        <v>18</v>
      </c>
      <c r="W10" s="2">
        <v>19</v>
      </c>
      <c r="X10" s="2">
        <v>20</v>
      </c>
      <c r="Y10" s="2">
        <v>21</v>
      </c>
      <c r="Z10" s="2">
        <v>22</v>
      </c>
      <c r="AA10" s="2">
        <v>23</v>
      </c>
      <c r="AB10" s="2">
        <v>24</v>
      </c>
      <c r="AC10" s="2">
        <v>25</v>
      </c>
      <c r="AD10" s="2">
        <v>26</v>
      </c>
      <c r="AE10" s="2">
        <v>27</v>
      </c>
      <c r="AF10" s="2">
        <v>28</v>
      </c>
      <c r="AG10" s="2">
        <v>29</v>
      </c>
      <c r="AH10" s="2">
        <v>30</v>
      </c>
      <c r="AI10" s="2">
        <v>31</v>
      </c>
    </row>
    <row r="11" spans="1:35" x14ac:dyDescent="0.3">
      <c r="A11" s="1"/>
      <c r="B11" s="2" t="s">
        <v>7</v>
      </c>
      <c r="C11" s="2">
        <v>46</v>
      </c>
      <c r="D11" s="2" t="s">
        <v>5</v>
      </c>
      <c r="E11" s="2">
        <v>0</v>
      </c>
      <c r="F11" s="2">
        <f t="shared" ref="F11:AI11" si="0">E11+$C$5</f>
        <v>3.3333333333333335E-3</v>
      </c>
      <c r="G11" s="2">
        <f t="shared" si="0"/>
        <v>6.6666666666666671E-3</v>
      </c>
      <c r="H11" s="2">
        <f t="shared" si="0"/>
        <v>0.01</v>
      </c>
      <c r="I11" s="2">
        <f t="shared" si="0"/>
        <v>1.3333333333333334E-2</v>
      </c>
      <c r="J11" s="2">
        <f t="shared" si="0"/>
        <v>1.6666666666666666E-2</v>
      </c>
      <c r="K11" s="2">
        <f t="shared" si="0"/>
        <v>0.02</v>
      </c>
      <c r="L11" s="2">
        <f t="shared" si="0"/>
        <v>2.3333333333333334E-2</v>
      </c>
      <c r="M11" s="2">
        <f t="shared" si="0"/>
        <v>2.6666666666666668E-2</v>
      </c>
      <c r="N11" s="2">
        <f t="shared" si="0"/>
        <v>3.0000000000000002E-2</v>
      </c>
      <c r="O11" s="2">
        <f t="shared" si="0"/>
        <v>3.3333333333333333E-2</v>
      </c>
      <c r="P11" s="2">
        <f t="shared" si="0"/>
        <v>3.6666666666666667E-2</v>
      </c>
      <c r="Q11" s="2">
        <f t="shared" si="0"/>
        <v>0.04</v>
      </c>
      <c r="R11" s="2">
        <f t="shared" si="0"/>
        <v>4.3333333333333335E-2</v>
      </c>
      <c r="S11" s="2">
        <f t="shared" si="0"/>
        <v>4.6666666666666669E-2</v>
      </c>
      <c r="T11" s="2">
        <f t="shared" si="0"/>
        <v>0.05</v>
      </c>
      <c r="U11" s="2">
        <f t="shared" si="0"/>
        <v>5.3333333333333337E-2</v>
      </c>
      <c r="V11" s="2">
        <f t="shared" si="0"/>
        <v>5.6666666666666671E-2</v>
      </c>
      <c r="W11" s="2">
        <f t="shared" si="0"/>
        <v>6.0000000000000005E-2</v>
      </c>
      <c r="X11" s="2">
        <f t="shared" si="0"/>
        <v>6.3333333333333339E-2</v>
      </c>
      <c r="Y11" s="2">
        <f t="shared" si="0"/>
        <v>6.6666666666666666E-2</v>
      </c>
      <c r="Z11" s="2">
        <f t="shared" si="0"/>
        <v>6.9999999999999993E-2</v>
      </c>
      <c r="AA11" s="2">
        <f t="shared" si="0"/>
        <v>7.333333333333332E-2</v>
      </c>
      <c r="AB11" s="2">
        <f t="shared" si="0"/>
        <v>7.6666666666666647E-2</v>
      </c>
      <c r="AC11" s="2">
        <f t="shared" si="0"/>
        <v>7.9999999999999974E-2</v>
      </c>
      <c r="AD11" s="2">
        <f t="shared" si="0"/>
        <v>8.3333333333333301E-2</v>
      </c>
      <c r="AE11" s="2">
        <f t="shared" si="0"/>
        <v>8.6666666666666628E-2</v>
      </c>
      <c r="AF11" s="2">
        <f t="shared" si="0"/>
        <v>8.9999999999999955E-2</v>
      </c>
      <c r="AG11" s="2">
        <f t="shared" si="0"/>
        <v>9.3333333333333282E-2</v>
      </c>
      <c r="AH11" s="2">
        <f t="shared" si="0"/>
        <v>9.6666666666666609E-2</v>
      </c>
      <c r="AI11" s="2">
        <f t="shared" si="0"/>
        <v>9.9999999999999936E-2</v>
      </c>
    </row>
    <row r="12" spans="1:35" x14ac:dyDescent="0.3">
      <c r="A12" s="1"/>
      <c r="B12" s="2"/>
      <c r="C12" s="2"/>
      <c r="D12" s="2" t="s">
        <v>6</v>
      </c>
      <c r="E12" s="2">
        <f>(E14/C11)*C5+F12</f>
        <v>299.99997763108735</v>
      </c>
      <c r="F12" s="2">
        <v>293.33331096442066</v>
      </c>
      <c r="G12" s="2">
        <v>286.6666443611611</v>
      </c>
      <c r="H12" s="2">
        <v>279.99997782112894</v>
      </c>
      <c r="I12" s="2">
        <v>273.33331134396514</v>
      </c>
      <c r="J12" s="2">
        <v>266.66664492913264</v>
      </c>
      <c r="K12" s="2">
        <v>259.99997857591751</v>
      </c>
      <c r="L12" s="2">
        <v>253.3333122834313</v>
      </c>
      <c r="M12" s="2">
        <v>246.66664605061328</v>
      </c>
      <c r="N12" s="2">
        <v>239.99997987623377</v>
      </c>
      <c r="O12" s="2">
        <v>233.33331375889719</v>
      </c>
      <c r="P12" s="2">
        <v>226.66664769704656</v>
      </c>
      <c r="Q12" s="2">
        <v>219.9999816889673</v>
      </c>
      <c r="R12" s="2">
        <v>213.33331573279273</v>
      </c>
      <c r="S12" s="2">
        <v>206.66664982650872</v>
      </c>
      <c r="T12" s="2">
        <v>199.99998396796005</v>
      </c>
      <c r="U12" s="2">
        <v>193.33331815485587</v>
      </c>
      <c r="V12" s="2">
        <v>186.6666523847768</v>
      </c>
      <c r="W12" s="2">
        <v>179.99998665518126</v>
      </c>
      <c r="X12" s="2">
        <v>173.33332096341309</v>
      </c>
      <c r="Y12" s="2">
        <v>166.66665530670878</v>
      </c>
      <c r="Z12" s="2">
        <v>159.9999896822055</v>
      </c>
      <c r="AA12" s="2">
        <v>153.33332408694912</v>
      </c>
      <c r="AB12" s="2">
        <v>146.66665851790265</v>
      </c>
      <c r="AC12" s="2">
        <v>139.99999297195473</v>
      </c>
      <c r="AD12" s="2">
        <v>133.33332744592857</v>
      </c>
      <c r="AE12" s="2">
        <v>126.66666193659087</v>
      </c>
      <c r="AF12" s="2">
        <v>119.99999644066111</v>
      </c>
      <c r="AG12" s="2">
        <v>113.3333309548207</v>
      </c>
      <c r="AH12" s="2">
        <v>106.66666547572241</v>
      </c>
      <c r="AI12" s="3">
        <f>C16</f>
        <v>100</v>
      </c>
    </row>
    <row r="13" spans="1:35" x14ac:dyDescent="0.3">
      <c r="A13" s="1"/>
      <c r="B13" s="2"/>
      <c r="C13" s="2"/>
      <c r="D13" s="2" t="s">
        <v>11</v>
      </c>
      <c r="E13" s="2"/>
      <c r="F13" s="2">
        <f>F12+($C$11*$C$6)/($C$10*$C$9)*((G12-2*F12+E12)/$C$5^2)</f>
        <v>293.33331099612423</v>
      </c>
      <c r="G13" s="2">
        <f t="shared" ref="G13:AH13" si="1">G12+($C$11*$C$6)/($C$10*$C$9)*((H12-2*G12+F12)/$C$5^2)</f>
        <v>286.6666443927748</v>
      </c>
      <c r="H13" s="2">
        <f t="shared" si="1"/>
        <v>279.99997785256312</v>
      </c>
      <c r="I13" s="2">
        <f t="shared" si="1"/>
        <v>273.33331137513079</v>
      </c>
      <c r="J13" s="2">
        <f t="shared" si="1"/>
        <v>266.66664495994132</v>
      </c>
      <c r="K13" s="2">
        <f t="shared" si="1"/>
        <v>259.99997860628196</v>
      </c>
      <c r="L13" s="2">
        <f t="shared" si="1"/>
        <v>253.3333123132654</v>
      </c>
      <c r="M13" s="2">
        <f t="shared" si="1"/>
        <v>246.66664607983253</v>
      </c>
      <c r="N13" s="2">
        <f t="shared" si="1"/>
        <v>239.99997990475524</v>
      </c>
      <c r="O13" s="2">
        <f t="shared" si="1"/>
        <v>233.33331378664016</v>
      </c>
      <c r="P13" s="2">
        <f t="shared" si="1"/>
        <v>226.66664772393224</v>
      </c>
      <c r="Q13" s="2">
        <f t="shared" si="1"/>
        <v>219.99998171491964</v>
      </c>
      <c r="R13" s="2">
        <f t="shared" si="1"/>
        <v>213.33331575773801</v>
      </c>
      <c r="S13" s="2">
        <f t="shared" si="1"/>
        <v>206.66664985037639</v>
      </c>
      <c r="T13" s="2">
        <f t="shared" si="1"/>
        <v>199.9999839906823</v>
      </c>
      <c r="U13" s="2">
        <f t="shared" si="1"/>
        <v>193.33331817636844</v>
      </c>
      <c r="V13" s="2">
        <f t="shared" si="1"/>
        <v>186.66665240501857</v>
      </c>
      <c r="W13" s="2">
        <f t="shared" si="1"/>
        <v>179.99998667409494</v>
      </c>
      <c r="X13" s="2">
        <f t="shared" si="1"/>
        <v>173.33332098094502</v>
      </c>
      <c r="Y13" s="2">
        <f t="shared" si="1"/>
        <v>166.66665532280928</v>
      </c>
      <c r="Z13" s="2">
        <f t="shared" si="1"/>
        <v>159.99998969682895</v>
      </c>
      <c r="AA13" s="2">
        <f t="shared" si="1"/>
        <v>153.33332410005409</v>
      </c>
      <c r="AB13" s="2">
        <f t="shared" si="1"/>
        <v>146.66665852945192</v>
      </c>
      <c r="AC13" s="2">
        <f t="shared" si="1"/>
        <v>139.99999298191563</v>
      </c>
      <c r="AD13" s="2">
        <f t="shared" si="1"/>
        <v>133.33332745427279</v>
      </c>
      <c r="AE13" s="2">
        <f t="shared" si="1"/>
        <v>126.66666194329484</v>
      </c>
      <c r="AF13" s="2">
        <f t="shared" si="1"/>
        <v>119.99999644570579</v>
      </c>
      <c r="AG13" s="2">
        <f t="shared" si="1"/>
        <v>113.33333095819177</v>
      </c>
      <c r="AH13" s="2">
        <f t="shared" si="1"/>
        <v>106.66666547741035</v>
      </c>
      <c r="AI13" s="3"/>
    </row>
    <row r="14" spans="1:35" x14ac:dyDescent="0.3">
      <c r="A14" s="1"/>
      <c r="B14" s="2"/>
      <c r="C14" s="2"/>
      <c r="D14" s="2" t="s">
        <v>13</v>
      </c>
      <c r="E14" s="2">
        <f>C15</f>
        <v>92000</v>
      </c>
      <c r="F14" s="2">
        <f>-$C$11*((F12-E12)/$C$5)</f>
        <v>92000.000000000247</v>
      </c>
      <c r="G14" s="2">
        <f>-$C$11*((G12-F12)/$C$5)</f>
        <v>91999.999124981885</v>
      </c>
      <c r="H14" s="2">
        <f t="shared" ref="H14:AH14" si="2">-$C$11*((H12-G12)/$C$5)</f>
        <v>91999.998252443896</v>
      </c>
      <c r="I14" s="2">
        <f t="shared" si="2"/>
        <v>91999.997384860442</v>
      </c>
      <c r="J14" s="2">
        <f t="shared" si="2"/>
        <v>91999.996524688366</v>
      </c>
      <c r="K14" s="2">
        <f t="shared" si="2"/>
        <v>91999.995674368853</v>
      </c>
      <c r="L14" s="2">
        <f t="shared" si="2"/>
        <v>91999.994836309721</v>
      </c>
      <c r="M14" s="2">
        <f t="shared" si="2"/>
        <v>91999.994012888623</v>
      </c>
      <c r="N14" s="2">
        <f t="shared" si="2"/>
        <v>91999.993206437299</v>
      </c>
      <c r="O14" s="2">
        <f t="shared" si="2"/>
        <v>91999.992419244736</v>
      </c>
      <c r="P14" s="2">
        <f t="shared" si="2"/>
        <v>91999.991653538746</v>
      </c>
      <c r="Q14" s="2">
        <f t="shared" si="2"/>
        <v>91999.990911493791</v>
      </c>
      <c r="R14" s="2">
        <f t="shared" si="2"/>
        <v>91999.990195209044</v>
      </c>
      <c r="S14" s="2">
        <f t="shared" si="2"/>
        <v>91999.989506719328</v>
      </c>
      <c r="T14" s="2">
        <f t="shared" si="2"/>
        <v>91999.988847971617</v>
      </c>
      <c r="U14" s="2">
        <f t="shared" si="2"/>
        <v>91999.988220837593</v>
      </c>
      <c r="V14" s="2">
        <f t="shared" si="2"/>
        <v>91999.987627091265</v>
      </c>
      <c r="W14" s="2">
        <f t="shared" si="2"/>
        <v>91999.987068418384</v>
      </c>
      <c r="X14" s="2">
        <f t="shared" si="2"/>
        <v>91999.986546400789</v>
      </c>
      <c r="Y14" s="2">
        <f t="shared" si="2"/>
        <v>91999.986062519471</v>
      </c>
      <c r="Z14" s="2">
        <f t="shared" si="2"/>
        <v>91999.985618145278</v>
      </c>
      <c r="AA14" s="2">
        <f t="shared" si="2"/>
        <v>91999.985214537985</v>
      </c>
      <c r="AB14" s="2">
        <f t="shared" si="2"/>
        <v>91999.984852841313</v>
      </c>
      <c r="AC14" s="2">
        <f t="shared" si="2"/>
        <v>91999.984534081304</v>
      </c>
      <c r="AD14" s="2">
        <f t="shared" si="2"/>
        <v>91999.984259160876</v>
      </c>
      <c r="AE14" s="2">
        <f t="shared" si="2"/>
        <v>91999.984028860315</v>
      </c>
      <c r="AF14" s="2">
        <f t="shared" si="2"/>
        <v>91999.98384383072</v>
      </c>
      <c r="AG14" s="2">
        <f t="shared" si="2"/>
        <v>91999.983704597675</v>
      </c>
      <c r="AH14" s="2">
        <f t="shared" si="2"/>
        <v>91999.983611556323</v>
      </c>
      <c r="AI14" s="3"/>
    </row>
    <row r="15" spans="1:35" x14ac:dyDescent="0.3">
      <c r="A15" s="1"/>
      <c r="B15" s="2" t="s">
        <v>12</v>
      </c>
      <c r="C15" s="2">
        <v>92000</v>
      </c>
      <c r="D15" s="1"/>
      <c r="E15" s="1"/>
      <c r="F15" s="1"/>
      <c r="G15" s="1"/>
      <c r="H15" s="1"/>
      <c r="I15" s="1"/>
    </row>
    <row r="16" spans="1:35" x14ac:dyDescent="0.3">
      <c r="A16" s="1"/>
      <c r="B16" s="2" t="s">
        <v>10</v>
      </c>
      <c r="C16" s="2">
        <v>100</v>
      </c>
      <c r="D16" s="1"/>
      <c r="E16" s="1"/>
      <c r="F16" s="1"/>
      <c r="G16" s="1"/>
      <c r="H16" s="1"/>
      <c r="I16" s="1"/>
    </row>
    <row r="17" spans="1:9" x14ac:dyDescent="0.3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3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3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3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3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3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3">
      <c r="A23" s="1"/>
      <c r="B23" s="1"/>
      <c r="C23" s="1"/>
      <c r="D23" s="1"/>
      <c r="E23" s="1"/>
      <c r="F23" s="1"/>
      <c r="G23" s="1"/>
      <c r="H23" s="1"/>
      <c r="I23" s="1"/>
    </row>
  </sheetData>
  <conditionalFormatting sqref="E12:AI12">
    <cfRule type="colorScale" priority="2">
      <colorScale>
        <cfvo type="min"/>
        <cfvo type="percentile" val="50"/>
        <cfvo type="max"/>
        <color rgb="FF0070C0"/>
        <color rgb="FFFFEB84"/>
        <color rgb="FFC00000"/>
      </colorScale>
    </cfRule>
    <cfRule type="colorScale" priority="1">
      <colorScale>
        <cfvo type="min"/>
        <cfvo type="max"/>
        <color theme="9" tint="0.79998168889431442"/>
        <color theme="9" tint="-0.499984740745262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lena</dc:creator>
  <cp:lastModifiedBy>Windows User</cp:lastModifiedBy>
  <dcterms:created xsi:type="dcterms:W3CDTF">2021-02-25T06:15:35Z</dcterms:created>
  <dcterms:modified xsi:type="dcterms:W3CDTF">2021-03-10T15:15:06Z</dcterms:modified>
</cp:coreProperties>
</file>